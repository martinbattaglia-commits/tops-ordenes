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Detalle clientes" sheetId="2" state="visible" r:id="rId4"/>
    <sheet name="Totales y KPIs" sheetId="3" state="visible" r:id="rId5"/>
    <sheet name="Rank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<sst xmlns="http://schemas.openxmlformats.org/spreadsheetml/2006/main" count="156" uniqueCount="103">
  <si>
    <t xml:space="preserve">LOGÍSTICA TOPS — Parámetros de cálculo</t>
  </si>
  <si>
    <t xml:space="preserve">Tarifa ANMAT ($/m²/mes, neto)</t>
  </si>
  <si>
    <t xml:space="preserve">Tarifa Cargas Generales ($/m²/mes, neto)</t>
  </si>
  <si>
    <t xml:space="preserve">IVA</t>
  </si>
  <si>
    <t xml:space="preserve">Moneda</t>
  </si>
  <si>
    <t xml:space="preserve">ARS</t>
  </si>
  <si>
    <t xml:space="preserve">Período</t>
  </si>
  <si>
    <t xml:space="preserve">Junio 2026</t>
  </si>
  <si>
    <t xml:space="preserve">Nota: las hojas de Detalle calculan con estas celdas (editá B3/B5 y recalculá).</t>
  </si>
  <si>
    <t xml:space="preserve">Fuente m²: planilla 'CLIENTES DE ANMAT Agustín Magaldi 1765/Osvaldo Cruz 3201' (Cynthia Alba, Drive, 18/06/2026).</t>
  </si>
  <si>
    <t xml:space="preserve">#</t>
  </si>
  <si>
    <t xml:space="preserve">Cliente</t>
  </si>
  <si>
    <t xml:space="preserve">Depósito</t>
  </si>
  <si>
    <t xml:space="preserve">Categoría</t>
  </si>
  <si>
    <t xml:space="preserve">m² ocupados</t>
  </si>
  <si>
    <t xml:space="preserve">$/m² (neto)</t>
  </si>
  <si>
    <t xml:space="preserve">Facturación mensual (neto)</t>
  </si>
  <si>
    <t xml:space="preserve">IVA (21%)</t>
  </si>
  <si>
    <t xml:space="preserve">Total c/IVA</t>
  </si>
  <si>
    <t xml:space="preserve">Observaciones</t>
  </si>
  <si>
    <t xml:space="preserve">Royal Packs S.A.</t>
  </si>
  <si>
    <t xml:space="preserve">PB6</t>
  </si>
  <si>
    <t xml:space="preserve">Almacenaje ANMAT</t>
  </si>
  <si>
    <t xml:space="preserve">Mayor ocupante (31% del m2 ANMAT). Seguimiento de pago (ref. correos).</t>
  </si>
  <si>
    <t xml:space="preserve">Silvia Noemí Willging</t>
  </si>
  <si>
    <t xml:space="preserve">PB7</t>
  </si>
  <si>
    <t xml:space="preserve">DEO Distribuidores de Equipos Odontológicos S.R.L.</t>
  </si>
  <si>
    <t xml:space="preserve">PB8</t>
  </si>
  <si>
    <t xml:space="preserve">Medimpo S.R.L.</t>
  </si>
  <si>
    <t xml:space="preserve">PB9</t>
  </si>
  <si>
    <t xml:space="preserve">Técnicas Mínimo Invasivas S.A.</t>
  </si>
  <si>
    <t xml:space="preserve">PB10</t>
  </si>
  <si>
    <t xml:space="preserve">Compañía de Higiene S.R.L.</t>
  </si>
  <si>
    <t xml:space="preserve">PB11</t>
  </si>
  <si>
    <t xml:space="preserve">Lion Business</t>
  </si>
  <si>
    <t xml:space="preserve">PB12</t>
  </si>
  <si>
    <t xml:space="preserve">Pago por adelantado (fe de errata clientes pendientes).</t>
  </si>
  <si>
    <t xml:space="preserve">Korean Skin SRL</t>
  </si>
  <si>
    <t xml:space="preserve">PB14</t>
  </si>
  <si>
    <t xml:space="preserve">Padeco S.A.</t>
  </si>
  <si>
    <t xml:space="preserve">PB15</t>
  </si>
  <si>
    <t xml:space="preserve">Robi Insumos Médicos SRL</t>
  </si>
  <si>
    <t xml:space="preserve">PB16</t>
  </si>
  <si>
    <t xml:space="preserve">Migliore SRL</t>
  </si>
  <si>
    <t xml:space="preserve">PB17</t>
  </si>
  <si>
    <t xml:space="preserve">Medical Inputs S.R.L.</t>
  </si>
  <si>
    <t xml:space="preserve">PB18</t>
  </si>
  <si>
    <t xml:space="preserve">Dana Yasmín Atena</t>
  </si>
  <si>
    <t xml:space="preserve">PB19</t>
  </si>
  <si>
    <t xml:space="preserve">Kodent S.A.</t>
  </si>
  <si>
    <t xml:space="preserve">PB20+PB21</t>
  </si>
  <si>
    <t xml:space="preserve">Ocupa 2 depósitos (20+17 m2); consolidado como un cliente.</t>
  </si>
  <si>
    <t xml:space="preserve">Amaoto S.R.L.</t>
  </si>
  <si>
    <t xml:space="preserve">PB22</t>
  </si>
  <si>
    <t xml:space="preserve">Business for Pharma SRL</t>
  </si>
  <si>
    <t xml:space="preserve">PB23</t>
  </si>
  <si>
    <t xml:space="preserve">Factura junio real informada por Ruth: $553.275 (≈ $15.808/m2).</t>
  </si>
  <si>
    <t xml:space="preserve">Tinu SRL</t>
  </si>
  <si>
    <t xml:space="preserve">PB24</t>
  </si>
  <si>
    <t xml:space="preserve">Peghi Commerce S.A.S.</t>
  </si>
  <si>
    <t xml:space="preserve">PB25</t>
  </si>
  <si>
    <t xml:space="preserve">Consulta de pago junio enviada (seguimiento).</t>
  </si>
  <si>
    <t xml:space="preserve">Bio Analítica S.A.</t>
  </si>
  <si>
    <t xml:space="preserve">PB26</t>
  </si>
  <si>
    <t xml:space="preserve">Wintrade S.A.</t>
  </si>
  <si>
    <t xml:space="preserve">PB27</t>
  </si>
  <si>
    <t xml:space="preserve">Forever Living Products Argentina SRL</t>
  </si>
  <si>
    <t xml:space="preserve">PB28</t>
  </si>
  <si>
    <t xml:space="preserve">PB28/29 (70 m2) dividido 35+35 con Panalab.</t>
  </si>
  <si>
    <t xml:space="preserve">Panalab S.A.</t>
  </si>
  <si>
    <t xml:space="preserve">PB29</t>
  </si>
  <si>
    <t xml:space="preserve">PB28/29 (70 m2) dividido 35+35 con Forever Living.</t>
  </si>
  <si>
    <t xml:space="preserve">Rol Latino Medical SRL</t>
  </si>
  <si>
    <t xml:space="preserve">PB (s/n, junto al taller)</t>
  </si>
  <si>
    <t xml:space="preserve">Agregado por Cynthia; no figuraba en el plano original.</t>
  </si>
  <si>
    <t xml:space="preserve">Medicina del Plata SRL</t>
  </si>
  <si>
    <t xml:space="preserve">PB31</t>
  </si>
  <si>
    <t xml:space="preserve">Ingemed S.A.</t>
  </si>
  <si>
    <t xml:space="preserve">PB32</t>
  </si>
  <si>
    <t xml:space="preserve">TOTAL / PROMEDIO</t>
  </si>
  <si>
    <t xml:space="preserve">Espacios NO facturables (excluidos de la facturación):</t>
  </si>
  <si>
    <t xml:space="preserve">Recepción y Expedición (espacio interno)</t>
  </si>
  <si>
    <t xml:space="preserve">PB13</t>
  </si>
  <si>
    <t xml:space="preserve">No facturable (operación interna).</t>
  </si>
  <si>
    <t xml:space="preserve">LIBRE / Disponible</t>
  </si>
  <si>
    <t xml:space="preserve">PB30</t>
  </si>
  <si>
    <t xml:space="preserve">Vacante: lucro cesante. Oportunidad comercial.</t>
  </si>
  <si>
    <t xml:space="preserve">Resumen ejecutivo — Facturación ANMAT (Junio 2026)</t>
  </si>
  <si>
    <t xml:space="preserve">Clientes activos (ANMAT)</t>
  </si>
  <si>
    <t xml:space="preserve">m² ocupados (facturables)</t>
  </si>
  <si>
    <t xml:space="preserve">m² libres (PB30)</t>
  </si>
  <si>
    <t xml:space="preserve">m² internos no facturables (PB13)</t>
  </si>
  <si>
    <t xml:space="preserve">Facturación total c/IVA</t>
  </si>
  <si>
    <t xml:space="preserve">Ticket promedio por cliente (neto)</t>
  </si>
  <si>
    <t xml:space="preserve">Precio promedio por m² (neto)</t>
  </si>
  <si>
    <t xml:space="preserve">Ocupación ANMAT (ocupados / ocupados+libres)</t>
  </si>
  <si>
    <t xml:space="preserve">Lucro cesante por vacancia (neto)</t>
  </si>
  <si>
    <t xml:space="preserve">Rankings (Junio 2026)</t>
  </si>
  <si>
    <t xml:space="preserve">Ranking por superficie (m²)</t>
  </si>
  <si>
    <t xml:space="preserve">m²</t>
  </si>
  <si>
    <t xml:space="preserve">Facturación neto</t>
  </si>
  <si>
    <t xml:space="preserve">Nota: con tarifa uniforme ($/m² constante), el ranking por facturación coincide con el de superficie,</t>
  </si>
  <si>
    <t xml:space="preserve">y el ranking por valor unitario ($/m²) es uniforme para todos los clientes ANMAT.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</si>
</sst>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%"/>
    <numFmt numFmtId="167" formatCode="#,##0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6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A68"/>
      <name val="Arial"/>
      <family val="0"/>
      <charset val="1"/>
    </font>
    <font>
      <b val="true"/>
      <sz val="13"/>
      <color rgb="FF1F3A68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5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6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EE"/>
      </left>
      <right style="thin">
        <color rgb="FFD8E0EE"/>
      </right>
      <top style="thin">
        <color rgb="FFD8E0EE"/>
      </top>
      <bottom style="thin">
        <color rgb="FFD8E0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B"/>
      <rgbColor rgb="FFCCFFFF"/>
      <rgbColor rgb="FF660066"/>
      <rgbColor rgb="FFFF8080"/>
      <rgbColor rgb="FF0066CC"/>
      <rgbColor rgb="FFD8E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80000</v>
      </c>
    </row>
    <row r="4" customFormat="false" ht="15" hidden="false" customHeight="false" outlineLevel="0" collapsed="false">
      <c r="A4" s="2" t="s">
        <v>2</v>
      </c>
      <c r="B4" s="3" t="n">
        <v>20000</v>
      </c>
    </row>
    <row r="5" customFormat="false" ht="15" hidden="false" customHeight="false" outlineLevel="0" collapsed="false">
      <c r="A5" s="2" t="s">
        <v>3</v>
      </c>
      <c r="B5" s="4" t="n">
        <v>0.21</v>
      </c>
    </row>
    <row r="6" customFormat="false" ht="15" hidden="false" customHeight="false" outlineLevel="0" collapsed="false">
      <c r="A6" s="2" t="s">
        <v>4</v>
      </c>
      <c r="B6" s="0" t="s">
        <v>5</v>
      </c>
    </row>
    <row r="7" customFormat="false" ht="15" hidden="false" customHeight="false" outlineLevel="0" collapsed="false">
      <c r="A7" s="2" t="s">
        <v>6</v>
      </c>
      <c r="B7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46"/>
  </cols>
  <sheetData>
    <row r="1" customFormat="false" ht="23.8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customFormat="false" ht="26.85" hidden="false" customHeight="false" outlineLevel="0" collapsed="false">
      <c r="A2" s="6" t="n">
        <v>1</v>
      </c>
      <c r="B2" s="7" t="s">
        <v>20</v>
      </c>
      <c r="C2" s="7" t="s">
        <v>21</v>
      </c>
      <c r="D2" s="7" t="s">
        <v>22</v>
      </c>
      <c r="E2" s="8" t="n">
        <v>400</v>
      </c>
      <c r="F2" s="9" t="n">
        <f aca="false">Parámetros!$B$3</f>
        <v>80000</v>
      </c>
      <c r="G2" s="9" t="n">
        <f aca="false">E2*F2</f>
        <v>32000000</v>
      </c>
      <c r="H2" s="9" t="n">
        <f aca="false">G2*Parámetros!$B$5</f>
        <v>6720000</v>
      </c>
      <c r="I2" s="9" t="n">
        <f aca="false">G2+H2</f>
        <v>38720000</v>
      </c>
      <c r="J2" s="10" t="s">
        <v>23</v>
      </c>
    </row>
    <row r="3" customFormat="false" ht="15" hidden="false" customHeight="false" outlineLevel="0" collapsed="false">
      <c r="A3" s="11" t="n">
        <v>2</v>
      </c>
      <c r="B3" s="12" t="s">
        <v>24</v>
      </c>
      <c r="C3" s="12" t="s">
        <v>25</v>
      </c>
      <c r="D3" s="12" t="s">
        <v>22</v>
      </c>
      <c r="E3" s="13" t="n">
        <v>70</v>
      </c>
      <c r="F3" s="14" t="n">
        <f aca="false">Parámetros!$B$3</f>
        <v>80000</v>
      </c>
      <c r="G3" s="14" t="n">
        <f aca="false">E3*F3</f>
        <v>5600000</v>
      </c>
      <c r="H3" s="14" t="n">
        <f aca="false">G3*Parámetros!$B$5</f>
        <v>1176000</v>
      </c>
      <c r="I3" s="14" t="n">
        <f aca="false">G3+H3</f>
        <v>6776000</v>
      </c>
      <c r="J3" s="15"/>
    </row>
    <row r="4" customFormat="false" ht="15" hidden="false" customHeight="false" outlineLevel="0" collapsed="false">
      <c r="A4" s="6" t="n">
        <v>3</v>
      </c>
      <c r="B4" s="7" t="s">
        <v>26</v>
      </c>
      <c r="C4" s="7" t="s">
        <v>27</v>
      </c>
      <c r="D4" s="7" t="s">
        <v>22</v>
      </c>
      <c r="E4" s="8" t="n">
        <v>50</v>
      </c>
      <c r="F4" s="9" t="n">
        <f aca="false">Parámetros!$B$3</f>
        <v>80000</v>
      </c>
      <c r="G4" s="9" t="n">
        <f aca="false">E4*F4</f>
        <v>4000000</v>
      </c>
      <c r="H4" s="9" t="n">
        <f aca="false">G4*Parámetros!$B$5</f>
        <v>840000</v>
      </c>
      <c r="I4" s="9" t="n">
        <f aca="false">G4+H4</f>
        <v>4840000</v>
      </c>
      <c r="J4" s="10"/>
    </row>
    <row r="5" customFormat="false" ht="15" hidden="false" customHeight="false" outlineLevel="0" collapsed="false">
      <c r="A5" s="11" t="n">
        <v>4</v>
      </c>
      <c r="B5" s="12" t="s">
        <v>28</v>
      </c>
      <c r="C5" s="12" t="s">
        <v>29</v>
      </c>
      <c r="D5" s="12" t="s">
        <v>22</v>
      </c>
      <c r="E5" s="13" t="n">
        <v>50</v>
      </c>
      <c r="F5" s="14" t="n">
        <f aca="false">Parámetros!$B$3</f>
        <v>80000</v>
      </c>
      <c r="G5" s="14" t="n">
        <f aca="false">E5*F5</f>
        <v>4000000</v>
      </c>
      <c r="H5" s="14" t="n">
        <f aca="false">G5*Parámetros!$B$5</f>
        <v>840000</v>
      </c>
      <c r="I5" s="14" t="n">
        <f aca="false">G5+H5</f>
        <v>4840000</v>
      </c>
      <c r="J5" s="15"/>
    </row>
    <row r="6" customFormat="false" ht="15" hidden="false" customHeight="false" outlineLevel="0" collapsed="false">
      <c r="A6" s="6" t="n">
        <v>5</v>
      </c>
      <c r="B6" s="7" t="s">
        <v>30</v>
      </c>
      <c r="C6" s="7" t="s">
        <v>31</v>
      </c>
      <c r="D6" s="7" t="s">
        <v>22</v>
      </c>
      <c r="E6" s="8" t="n">
        <v>50</v>
      </c>
      <c r="F6" s="9" t="n">
        <f aca="false">Parámetros!$B$3</f>
        <v>80000</v>
      </c>
      <c r="G6" s="9" t="n">
        <f aca="false">E6*F6</f>
        <v>4000000</v>
      </c>
      <c r="H6" s="9" t="n">
        <f aca="false">G6*Parámetros!$B$5</f>
        <v>840000</v>
      </c>
      <c r="I6" s="9" t="n">
        <f aca="false">G6+H6</f>
        <v>4840000</v>
      </c>
      <c r="J6" s="10"/>
    </row>
    <row r="7" customFormat="false" ht="15" hidden="false" customHeight="false" outlineLevel="0" collapsed="false">
      <c r="A7" s="11" t="n">
        <v>6</v>
      </c>
      <c r="B7" s="12" t="s">
        <v>32</v>
      </c>
      <c r="C7" s="12" t="s">
        <v>33</v>
      </c>
      <c r="D7" s="12" t="s">
        <v>22</v>
      </c>
      <c r="E7" s="13" t="n">
        <v>50</v>
      </c>
      <c r="F7" s="14" t="n">
        <f aca="false">Parámetros!$B$3</f>
        <v>80000</v>
      </c>
      <c r="G7" s="14" t="n">
        <f aca="false">E7*F7</f>
        <v>4000000</v>
      </c>
      <c r="H7" s="14" t="n">
        <f aca="false">G7*Parámetros!$B$5</f>
        <v>840000</v>
      </c>
      <c r="I7" s="14" t="n">
        <f aca="false">G7+H7</f>
        <v>4840000</v>
      </c>
      <c r="J7" s="15"/>
    </row>
    <row r="8" customFormat="false" ht="26.85" hidden="false" customHeight="false" outlineLevel="0" collapsed="false">
      <c r="A8" s="6" t="n">
        <v>7</v>
      </c>
      <c r="B8" s="7" t="s">
        <v>34</v>
      </c>
      <c r="C8" s="7" t="s">
        <v>35</v>
      </c>
      <c r="D8" s="7" t="s">
        <v>22</v>
      </c>
      <c r="E8" s="8" t="n">
        <v>70</v>
      </c>
      <c r="F8" s="9" t="n">
        <f aca="false">Parámetros!$B$3</f>
        <v>80000</v>
      </c>
      <c r="G8" s="9" t="n">
        <f aca="false">E8*F8</f>
        <v>5600000</v>
      </c>
      <c r="H8" s="9" t="n">
        <f aca="false">G8*Parámetros!$B$5</f>
        <v>1176000</v>
      </c>
      <c r="I8" s="9" t="n">
        <f aca="false">G8+H8</f>
        <v>6776000</v>
      </c>
      <c r="J8" s="10" t="s">
        <v>36</v>
      </c>
    </row>
    <row r="9" customFormat="false" ht="15" hidden="false" customHeight="false" outlineLevel="0" collapsed="false">
      <c r="A9" s="11" t="n">
        <v>8</v>
      </c>
      <c r="B9" s="12" t="s">
        <v>37</v>
      </c>
      <c r="C9" s="12" t="s">
        <v>38</v>
      </c>
      <c r="D9" s="12" t="s">
        <v>22</v>
      </c>
      <c r="E9" s="13" t="n">
        <v>15</v>
      </c>
      <c r="F9" s="14" t="n">
        <f aca="false">Parámetros!$B$3</f>
        <v>80000</v>
      </c>
      <c r="G9" s="14" t="n">
        <f aca="false">E9*F9</f>
        <v>1200000</v>
      </c>
      <c r="H9" s="14" t="n">
        <f aca="false">G9*Parámetros!$B$5</f>
        <v>252000</v>
      </c>
      <c r="I9" s="14" t="n">
        <f aca="false">G9+H9</f>
        <v>1452000</v>
      </c>
      <c r="J9" s="15"/>
    </row>
    <row r="10" customFormat="false" ht="15" hidden="false" customHeight="false" outlineLevel="0" collapsed="false">
      <c r="A10" s="6" t="n">
        <v>9</v>
      </c>
      <c r="B10" s="7" t="s">
        <v>39</v>
      </c>
      <c r="C10" s="7" t="s">
        <v>40</v>
      </c>
      <c r="D10" s="7" t="s">
        <v>22</v>
      </c>
      <c r="E10" s="8" t="n">
        <v>17</v>
      </c>
      <c r="F10" s="9" t="n">
        <f aca="false">Parámetros!$B$3</f>
        <v>80000</v>
      </c>
      <c r="G10" s="9" t="n">
        <f aca="false">E10*F10</f>
        <v>1360000</v>
      </c>
      <c r="H10" s="9" t="n">
        <f aca="false">G10*Parámetros!$B$5</f>
        <v>285600</v>
      </c>
      <c r="I10" s="9" t="n">
        <f aca="false">G10+H10</f>
        <v>1645600</v>
      </c>
      <c r="J10" s="10"/>
    </row>
    <row r="11" customFormat="false" ht="15" hidden="false" customHeight="false" outlineLevel="0" collapsed="false">
      <c r="A11" s="11" t="n">
        <v>10</v>
      </c>
      <c r="B11" s="12" t="s">
        <v>41</v>
      </c>
      <c r="C11" s="12" t="s">
        <v>42</v>
      </c>
      <c r="D11" s="12" t="s">
        <v>22</v>
      </c>
      <c r="E11" s="13" t="n">
        <v>17</v>
      </c>
      <c r="F11" s="14" t="n">
        <f aca="false">Parámetros!$B$3</f>
        <v>80000</v>
      </c>
      <c r="G11" s="14" t="n">
        <f aca="false">E11*F11</f>
        <v>1360000</v>
      </c>
      <c r="H11" s="14" t="n">
        <f aca="false">G11*Parámetros!$B$5</f>
        <v>285600</v>
      </c>
      <c r="I11" s="14" t="n">
        <f aca="false">G11+H11</f>
        <v>1645600</v>
      </c>
      <c r="J11" s="15"/>
    </row>
    <row r="12" customFormat="false" ht="15" hidden="false" customHeight="false" outlineLevel="0" collapsed="false">
      <c r="A12" s="6" t="n">
        <v>11</v>
      </c>
      <c r="B12" s="7" t="s">
        <v>43</v>
      </c>
      <c r="C12" s="7" t="s">
        <v>44</v>
      </c>
      <c r="D12" s="7" t="s">
        <v>22</v>
      </c>
      <c r="E12" s="8" t="n">
        <v>25</v>
      </c>
      <c r="F12" s="9" t="n">
        <f aca="false">Parámetros!$B$3</f>
        <v>80000</v>
      </c>
      <c r="G12" s="9" t="n">
        <f aca="false">E12*F12</f>
        <v>2000000</v>
      </c>
      <c r="H12" s="9" t="n">
        <f aca="false">G12*Parámetros!$B$5</f>
        <v>420000</v>
      </c>
      <c r="I12" s="9" t="n">
        <f aca="false">G12+H12</f>
        <v>2420000</v>
      </c>
      <c r="J12" s="10"/>
    </row>
    <row r="13" customFormat="false" ht="15" hidden="false" customHeight="false" outlineLevel="0" collapsed="false">
      <c r="A13" s="11" t="n">
        <v>12</v>
      </c>
      <c r="B13" s="12" t="s">
        <v>45</v>
      </c>
      <c r="C13" s="12" t="s">
        <v>46</v>
      </c>
      <c r="D13" s="12" t="s">
        <v>22</v>
      </c>
      <c r="E13" s="13" t="n">
        <v>30</v>
      </c>
      <c r="F13" s="14" t="n">
        <f aca="false">Parámetros!$B$3</f>
        <v>80000</v>
      </c>
      <c r="G13" s="14" t="n">
        <f aca="false">E13*F13</f>
        <v>2400000</v>
      </c>
      <c r="H13" s="14" t="n">
        <f aca="false">G13*Parámetros!$B$5</f>
        <v>504000</v>
      </c>
      <c r="I13" s="14" t="n">
        <f aca="false">G13+H13</f>
        <v>2904000</v>
      </c>
      <c r="J13" s="15"/>
    </row>
    <row r="14" customFormat="false" ht="15" hidden="false" customHeight="false" outlineLevel="0" collapsed="false">
      <c r="A14" s="6" t="n">
        <v>13</v>
      </c>
      <c r="B14" s="7" t="s">
        <v>47</v>
      </c>
      <c r="C14" s="7" t="s">
        <v>48</v>
      </c>
      <c r="D14" s="7" t="s">
        <v>22</v>
      </c>
      <c r="E14" s="8" t="n">
        <v>17</v>
      </c>
      <c r="F14" s="9" t="n">
        <f aca="false">Parámetros!$B$3</f>
        <v>80000</v>
      </c>
      <c r="G14" s="9" t="n">
        <f aca="false">E14*F14</f>
        <v>1360000</v>
      </c>
      <c r="H14" s="9" t="n">
        <f aca="false">G14*Parámetros!$B$5</f>
        <v>285600</v>
      </c>
      <c r="I14" s="9" t="n">
        <f aca="false">G14+H14</f>
        <v>1645600</v>
      </c>
      <c r="J14" s="10"/>
    </row>
    <row r="15" customFormat="false" ht="26.85" hidden="false" customHeight="false" outlineLevel="0" collapsed="false">
      <c r="A15" s="11" t="n">
        <v>14</v>
      </c>
      <c r="B15" s="12" t="s">
        <v>49</v>
      </c>
      <c r="C15" s="12" t="s">
        <v>50</v>
      </c>
      <c r="D15" s="12" t="s">
        <v>22</v>
      </c>
      <c r="E15" s="13" t="n">
        <v>37</v>
      </c>
      <c r="F15" s="14" t="n">
        <f aca="false">Parámetros!$B$3</f>
        <v>80000</v>
      </c>
      <c r="G15" s="14" t="n">
        <f aca="false">E15*F15</f>
        <v>2960000</v>
      </c>
      <c r="H15" s="14" t="n">
        <f aca="false">G15*Parámetros!$B$5</f>
        <v>621600</v>
      </c>
      <c r="I15" s="14" t="n">
        <f aca="false">G15+H15</f>
        <v>3581600</v>
      </c>
      <c r="J15" s="15" t="s">
        <v>51</v>
      </c>
    </row>
    <row r="16" customFormat="false" ht="15" hidden="false" customHeight="false" outlineLevel="0" collapsed="false">
      <c r="A16" s="6" t="n">
        <v>15</v>
      </c>
      <c r="B16" s="7" t="s">
        <v>52</v>
      </c>
      <c r="C16" s="7" t="s">
        <v>53</v>
      </c>
      <c r="D16" s="7" t="s">
        <v>22</v>
      </c>
      <c r="E16" s="8" t="n">
        <v>17</v>
      </c>
      <c r="F16" s="9" t="n">
        <f aca="false">Parámetros!$B$3</f>
        <v>80000</v>
      </c>
      <c r="G16" s="9" t="n">
        <f aca="false">E16*F16</f>
        <v>1360000</v>
      </c>
      <c r="H16" s="9" t="n">
        <f aca="false">G16*Parámetros!$B$5</f>
        <v>285600</v>
      </c>
      <c r="I16" s="9" t="n">
        <f aca="false">G16+H16</f>
        <v>1645600</v>
      </c>
      <c r="J16" s="10"/>
    </row>
    <row r="17" customFormat="false" ht="26.85" hidden="false" customHeight="false" outlineLevel="0" collapsed="false">
      <c r="A17" s="11" t="n">
        <v>16</v>
      </c>
      <c r="B17" s="12" t="s">
        <v>54</v>
      </c>
      <c r="C17" s="12" t="s">
        <v>55</v>
      </c>
      <c r="D17" s="12" t="s">
        <v>22</v>
      </c>
      <c r="E17" s="13" t="n">
        <v>35</v>
      </c>
      <c r="F17" s="14" t="n">
        <f aca="false">Parámetros!$B$3</f>
        <v>80000</v>
      </c>
      <c r="G17" s="14" t="n">
        <f aca="false">E17*F17</f>
        <v>2800000</v>
      </c>
      <c r="H17" s="14" t="n">
        <f aca="false">G17*Parámetros!$B$5</f>
        <v>588000</v>
      </c>
      <c r="I17" s="14" t="n">
        <f aca="false">G17+H17</f>
        <v>3388000</v>
      </c>
      <c r="J17" s="15" t="s">
        <v>56</v>
      </c>
    </row>
    <row r="18" customFormat="false" ht="15" hidden="false" customHeight="false" outlineLevel="0" collapsed="false">
      <c r="A18" s="6" t="n">
        <v>17</v>
      </c>
      <c r="B18" s="7" t="s">
        <v>57</v>
      </c>
      <c r="C18" s="7" t="s">
        <v>58</v>
      </c>
      <c r="D18" s="7" t="s">
        <v>22</v>
      </c>
      <c r="E18" s="8" t="n">
        <v>17</v>
      </c>
      <c r="F18" s="9" t="n">
        <f aca="false">Parámetros!$B$3</f>
        <v>80000</v>
      </c>
      <c r="G18" s="9" t="n">
        <f aca="false">E18*F18</f>
        <v>1360000</v>
      </c>
      <c r="H18" s="9" t="n">
        <f aca="false">G18*Parámetros!$B$5</f>
        <v>285600</v>
      </c>
      <c r="I18" s="9" t="n">
        <f aca="false">G18+H18</f>
        <v>1645600</v>
      </c>
      <c r="J18" s="10"/>
    </row>
    <row r="19" customFormat="false" ht="15" hidden="false" customHeight="false" outlineLevel="0" collapsed="false">
      <c r="A19" s="11" t="n">
        <v>18</v>
      </c>
      <c r="B19" s="12" t="s">
        <v>59</v>
      </c>
      <c r="C19" s="12" t="s">
        <v>60</v>
      </c>
      <c r="D19" s="12" t="s">
        <v>22</v>
      </c>
      <c r="E19" s="13" t="n">
        <v>17</v>
      </c>
      <c r="F19" s="14" t="n">
        <f aca="false">Parámetros!$B$3</f>
        <v>80000</v>
      </c>
      <c r="G19" s="14" t="n">
        <f aca="false">E19*F19</f>
        <v>1360000</v>
      </c>
      <c r="H19" s="14" t="n">
        <f aca="false">G19*Parámetros!$B$5</f>
        <v>285600</v>
      </c>
      <c r="I19" s="14" t="n">
        <f aca="false">G19+H19</f>
        <v>1645600</v>
      </c>
      <c r="J19" s="15" t="s">
        <v>61</v>
      </c>
    </row>
    <row r="20" customFormat="false" ht="15" hidden="false" customHeight="false" outlineLevel="0" collapsed="false">
      <c r="A20" s="6" t="n">
        <v>19</v>
      </c>
      <c r="B20" s="7" t="s">
        <v>62</v>
      </c>
      <c r="C20" s="7" t="s">
        <v>63</v>
      </c>
      <c r="D20" s="7" t="s">
        <v>22</v>
      </c>
      <c r="E20" s="8" t="n">
        <v>50</v>
      </c>
      <c r="F20" s="9" t="n">
        <f aca="false">Parámetros!$B$3</f>
        <v>80000</v>
      </c>
      <c r="G20" s="9" t="n">
        <f aca="false">E20*F20</f>
        <v>4000000</v>
      </c>
      <c r="H20" s="9" t="n">
        <f aca="false">G20*Parámetros!$B$5</f>
        <v>840000</v>
      </c>
      <c r="I20" s="9" t="n">
        <f aca="false">G20+H20</f>
        <v>4840000</v>
      </c>
      <c r="J20" s="10"/>
    </row>
    <row r="21" customFormat="false" ht="15" hidden="false" customHeight="false" outlineLevel="0" collapsed="false">
      <c r="A21" s="11" t="n">
        <v>20</v>
      </c>
      <c r="B21" s="12" t="s">
        <v>64</v>
      </c>
      <c r="C21" s="12" t="s">
        <v>65</v>
      </c>
      <c r="D21" s="12" t="s">
        <v>22</v>
      </c>
      <c r="E21" s="13" t="n">
        <v>70</v>
      </c>
      <c r="F21" s="14" t="n">
        <f aca="false">Parámetros!$B$3</f>
        <v>80000</v>
      </c>
      <c r="G21" s="14" t="n">
        <f aca="false">E21*F21</f>
        <v>5600000</v>
      </c>
      <c r="H21" s="14" t="n">
        <f aca="false">G21*Parámetros!$B$5</f>
        <v>1176000</v>
      </c>
      <c r="I21" s="14" t="n">
        <f aca="false">G21+H21</f>
        <v>6776000</v>
      </c>
      <c r="J21" s="15"/>
    </row>
    <row r="22" customFormat="false" ht="15" hidden="false" customHeight="false" outlineLevel="0" collapsed="false">
      <c r="A22" s="6" t="n">
        <v>21</v>
      </c>
      <c r="B22" s="7" t="s">
        <v>66</v>
      </c>
      <c r="C22" s="7" t="s">
        <v>67</v>
      </c>
      <c r="D22" s="7" t="s">
        <v>22</v>
      </c>
      <c r="E22" s="8" t="n">
        <v>35</v>
      </c>
      <c r="F22" s="9" t="n">
        <f aca="false">Parámetros!$B$3</f>
        <v>80000</v>
      </c>
      <c r="G22" s="9" t="n">
        <f aca="false">E22*F22</f>
        <v>2800000</v>
      </c>
      <c r="H22" s="9" t="n">
        <f aca="false">G22*Parámetros!$B$5</f>
        <v>588000</v>
      </c>
      <c r="I22" s="9" t="n">
        <f aca="false">G22+H22</f>
        <v>3388000</v>
      </c>
      <c r="J22" s="10" t="s">
        <v>68</v>
      </c>
    </row>
    <row r="23" customFormat="false" ht="26.85" hidden="false" customHeight="false" outlineLevel="0" collapsed="false">
      <c r="A23" s="11" t="n">
        <v>22</v>
      </c>
      <c r="B23" s="12" t="s">
        <v>69</v>
      </c>
      <c r="C23" s="12" t="s">
        <v>70</v>
      </c>
      <c r="D23" s="12" t="s">
        <v>22</v>
      </c>
      <c r="E23" s="13" t="n">
        <v>35</v>
      </c>
      <c r="F23" s="14" t="n">
        <f aca="false">Parámetros!$B$3</f>
        <v>80000</v>
      </c>
      <c r="G23" s="14" t="n">
        <f aca="false">E23*F23</f>
        <v>2800000</v>
      </c>
      <c r="H23" s="14" t="n">
        <f aca="false">G23*Parámetros!$B$5</f>
        <v>588000</v>
      </c>
      <c r="I23" s="14" t="n">
        <f aca="false">G23+H23</f>
        <v>3388000</v>
      </c>
      <c r="J23" s="15" t="s">
        <v>71</v>
      </c>
    </row>
    <row r="24" customFormat="false" ht="26.85" hidden="false" customHeight="false" outlineLevel="0" collapsed="false">
      <c r="A24" s="6" t="n">
        <v>23</v>
      </c>
      <c r="B24" s="7" t="s">
        <v>72</v>
      </c>
      <c r="C24" s="7" t="s">
        <v>73</v>
      </c>
      <c r="D24" s="7" t="s">
        <v>22</v>
      </c>
      <c r="E24" s="8" t="n">
        <v>38</v>
      </c>
      <c r="F24" s="9" t="n">
        <f aca="false">Parámetros!$B$3</f>
        <v>80000</v>
      </c>
      <c r="G24" s="9" t="n">
        <f aca="false">E24*F24</f>
        <v>3040000</v>
      </c>
      <c r="H24" s="9" t="n">
        <f aca="false">G24*Parámetros!$B$5</f>
        <v>638400</v>
      </c>
      <c r="I24" s="9" t="n">
        <f aca="false">G24+H24</f>
        <v>3678400</v>
      </c>
      <c r="J24" s="10" t="s">
        <v>74</v>
      </c>
    </row>
    <row r="25" customFormat="false" ht="15" hidden="false" customHeight="false" outlineLevel="0" collapsed="false">
      <c r="A25" s="11" t="n">
        <v>24</v>
      </c>
      <c r="B25" s="12" t="s">
        <v>75</v>
      </c>
      <c r="C25" s="12" t="s">
        <v>76</v>
      </c>
      <c r="D25" s="12" t="s">
        <v>22</v>
      </c>
      <c r="E25" s="13" t="n">
        <v>70</v>
      </c>
      <c r="F25" s="14" t="n">
        <f aca="false">Parámetros!$B$3</f>
        <v>80000</v>
      </c>
      <c r="G25" s="14" t="n">
        <f aca="false">E25*F25</f>
        <v>5600000</v>
      </c>
      <c r="H25" s="14" t="n">
        <f aca="false">G25*Parámetros!$B$5</f>
        <v>1176000</v>
      </c>
      <c r="I25" s="14" t="n">
        <f aca="false">G25+H25</f>
        <v>6776000</v>
      </c>
      <c r="J25" s="15"/>
    </row>
    <row r="26" customFormat="false" ht="15" hidden="false" customHeight="false" outlineLevel="0" collapsed="false">
      <c r="A26" s="6" t="n">
        <v>25</v>
      </c>
      <c r="B26" s="7" t="s">
        <v>77</v>
      </c>
      <c r="C26" s="7" t="s">
        <v>78</v>
      </c>
      <c r="D26" s="7" t="s">
        <v>22</v>
      </c>
      <c r="E26" s="8" t="n">
        <v>10</v>
      </c>
      <c r="F26" s="9" t="n">
        <f aca="false">Parámetros!$B$3</f>
        <v>80000</v>
      </c>
      <c r="G26" s="9" t="n">
        <f aca="false">E26*F26</f>
        <v>800000</v>
      </c>
      <c r="H26" s="9" t="n">
        <f aca="false">G26*Parámetros!$B$5</f>
        <v>168000</v>
      </c>
      <c r="I26" s="9" t="n">
        <f aca="false">G26+H26</f>
        <v>968000</v>
      </c>
      <c r="J26" s="10"/>
    </row>
    <row r="27" customFormat="false" ht="15" hidden="false" customHeight="false" outlineLevel="0" collapsed="false">
      <c r="A27" s="16"/>
      <c r="B27" s="17" t="s">
        <v>79</v>
      </c>
      <c r="C27" s="17"/>
      <c r="D27" s="17"/>
      <c r="E27" s="18" t="n">
        <f aca="false">SUM(E2:E26)</f>
        <v>1292</v>
      </c>
      <c r="F27" s="19" t="n">
        <f aca="false">AVERAGE(F2:F26)</f>
        <v>80000</v>
      </c>
      <c r="G27" s="19" t="n">
        <f aca="false">SUM(G2:G26)</f>
        <v>103360000</v>
      </c>
      <c r="H27" s="19" t="n">
        <f aca="false">SUM(H2:H26)</f>
        <v>21705600</v>
      </c>
      <c r="I27" s="19" t="n">
        <f aca="false">SUM(I2:I26)</f>
        <v>125065600</v>
      </c>
      <c r="J27" s="20"/>
    </row>
    <row r="29" customFormat="false" ht="15" hidden="false" customHeight="false" outlineLevel="0" collapsed="false">
      <c r="B29" s="21" t="s">
        <v>80</v>
      </c>
    </row>
    <row r="30" customFormat="false" ht="15" hidden="false" customHeight="false" outlineLevel="0" collapsed="false">
      <c r="B30" s="0" t="s">
        <v>81</v>
      </c>
      <c r="C30" s="0" t="s">
        <v>82</v>
      </c>
      <c r="E30" s="22" t="n">
        <v>30</v>
      </c>
      <c r="J30" s="0" t="s">
        <v>83</v>
      </c>
    </row>
    <row r="31" customFormat="false" ht="15" hidden="false" customHeight="false" outlineLevel="0" collapsed="false">
      <c r="B31" s="0" t="s">
        <v>84</v>
      </c>
      <c r="C31" s="0" t="s">
        <v>85</v>
      </c>
      <c r="E31" s="22" t="n">
        <v>107</v>
      </c>
      <c r="J31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23" t="s">
        <v>87</v>
      </c>
    </row>
    <row r="3" customFormat="false" ht="15" hidden="false" customHeight="false" outlineLevel="0" collapsed="false">
      <c r="A3" s="24" t="s">
        <v>88</v>
      </c>
      <c r="B3" s="25" t="n">
        <f aca="false">COUNTA('Detalle clientes'!B2:B26)</f>
        <v>25</v>
      </c>
    </row>
    <row r="4" customFormat="false" ht="15" hidden="false" customHeight="false" outlineLevel="0" collapsed="false">
      <c r="A4" s="24" t="s">
        <v>89</v>
      </c>
      <c r="B4" s="26" t="n">
        <f aca="false">'Detalle clientes'!E27</f>
        <v>1292</v>
      </c>
    </row>
    <row r="5" customFormat="false" ht="15" hidden="false" customHeight="false" outlineLevel="0" collapsed="false">
      <c r="A5" s="24" t="s">
        <v>90</v>
      </c>
      <c r="B5" s="26" t="n">
        <v>107</v>
      </c>
    </row>
    <row r="6" customFormat="false" ht="15" hidden="false" customHeight="false" outlineLevel="0" collapsed="false">
      <c r="A6" s="24" t="s">
        <v>91</v>
      </c>
      <c r="B6" s="26" t="n">
        <v>30</v>
      </c>
    </row>
    <row r="7" customFormat="false" ht="15" hidden="false" customHeight="false" outlineLevel="0" collapsed="false">
      <c r="A7" s="24" t="s">
        <v>16</v>
      </c>
      <c r="B7" s="27" t="n">
        <f aca="false">'Detalle clientes'!G27</f>
        <v>103360000</v>
      </c>
    </row>
    <row r="8" customFormat="false" ht="15" hidden="false" customHeight="false" outlineLevel="0" collapsed="false">
      <c r="A8" s="24" t="s">
        <v>17</v>
      </c>
      <c r="B8" s="27" t="n">
        <f aca="false">'Detalle clientes'!H27</f>
        <v>21705600</v>
      </c>
    </row>
    <row r="9" customFormat="false" ht="15" hidden="false" customHeight="false" outlineLevel="0" collapsed="false">
      <c r="A9" s="24" t="s">
        <v>92</v>
      </c>
      <c r="B9" s="27" t="n">
        <f aca="false">'Detalle clientes'!I27</f>
        <v>125065600</v>
      </c>
    </row>
    <row r="10" customFormat="false" ht="15" hidden="false" customHeight="false" outlineLevel="0" collapsed="false">
      <c r="A10" s="24" t="s">
        <v>93</v>
      </c>
      <c r="B10" s="27" t="n">
        <f aca="false">'Detalle clientes'!G27/'Totales y KPIs'!B3</f>
        <v>4134400</v>
      </c>
    </row>
    <row r="11" customFormat="false" ht="15" hidden="false" customHeight="false" outlineLevel="0" collapsed="false">
      <c r="A11" s="24" t="s">
        <v>94</v>
      </c>
      <c r="B11" s="27" t="n">
        <f aca="false">'Detalle clientes'!G27/'Detalle clientes'!E27</f>
        <v>80000</v>
      </c>
    </row>
    <row r="12" customFormat="false" ht="15" hidden="false" customHeight="false" outlineLevel="0" collapsed="false">
      <c r="A12" s="24" t="s">
        <v>95</v>
      </c>
      <c r="B12" s="28" t="n">
        <f aca="false">'Detalle clientes'!E27/('Detalle clientes'!E27+B5)</f>
        <v>0.923516797712652</v>
      </c>
    </row>
    <row r="13" customFormat="false" ht="15" hidden="false" customHeight="false" outlineLevel="0" collapsed="false">
      <c r="A13" s="24" t="s">
        <v>96</v>
      </c>
      <c r="B13" s="27" t="n">
        <f aca="false">B5*Parámetros!$B$3</f>
        <v>8560000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23" t="s">
        <v>97</v>
      </c>
    </row>
    <row r="3" customFormat="false" ht="15" hidden="false" customHeight="false" outlineLevel="0" collapsed="false">
      <c r="A3" s="21" t="s">
        <v>98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99</v>
      </c>
      <c r="D4" s="5" t="s">
        <v>100</v>
      </c>
    </row>
    <row r="5" customFormat="false" ht="15" hidden="false" customHeight="false" outlineLevel="0" collapsed="false">
      <c r="A5" s="29" t="n">
        <v>1</v>
      </c>
      <c r="B5" s="29" t="s">
        <v>20</v>
      </c>
      <c r="C5" s="30" t="n">
        <v>400</v>
      </c>
      <c r="D5" s="31" t="n">
        <f aca="false">C5*Parámetros!$B$3</f>
        <v>32000000</v>
      </c>
    </row>
    <row r="6" customFormat="false" ht="15" hidden="false" customHeight="false" outlineLevel="0" collapsed="false">
      <c r="A6" s="29" t="n">
        <v>2</v>
      </c>
      <c r="B6" s="29" t="s">
        <v>24</v>
      </c>
      <c r="C6" s="30" t="n">
        <v>70</v>
      </c>
      <c r="D6" s="31" t="n">
        <f aca="false">C6*Parámetros!$B$3</f>
        <v>5600000</v>
      </c>
    </row>
    <row r="7" customFormat="false" ht="15" hidden="false" customHeight="false" outlineLevel="0" collapsed="false">
      <c r="A7" s="29" t="n">
        <v>3</v>
      </c>
      <c r="B7" s="29" t="s">
        <v>34</v>
      </c>
      <c r="C7" s="30" t="n">
        <v>70</v>
      </c>
      <c r="D7" s="31" t="n">
        <f aca="false">C7*Parámetros!$B$3</f>
        <v>5600000</v>
      </c>
    </row>
    <row r="8" customFormat="false" ht="15" hidden="false" customHeight="false" outlineLevel="0" collapsed="false">
      <c r="A8" s="29" t="n">
        <v>4</v>
      </c>
      <c r="B8" s="29" t="s">
        <v>64</v>
      </c>
      <c r="C8" s="30" t="n">
        <v>70</v>
      </c>
      <c r="D8" s="31" t="n">
        <f aca="false">C8*Parámetros!$B$3</f>
        <v>5600000</v>
      </c>
    </row>
    <row r="9" customFormat="false" ht="15" hidden="false" customHeight="false" outlineLevel="0" collapsed="false">
      <c r="A9" s="29" t="n">
        <v>5</v>
      </c>
      <c r="B9" s="29" t="s">
        <v>75</v>
      </c>
      <c r="C9" s="30" t="n">
        <v>70</v>
      </c>
      <c r="D9" s="31" t="n">
        <f aca="false">C9*Parámetros!$B$3</f>
        <v>5600000</v>
      </c>
    </row>
    <row r="10" customFormat="false" ht="15" hidden="false" customHeight="false" outlineLevel="0" collapsed="false">
      <c r="A10" s="29" t="n">
        <v>6</v>
      </c>
      <c r="B10" s="29" t="s">
        <v>26</v>
      </c>
      <c r="C10" s="30" t="n">
        <v>50</v>
      </c>
      <c r="D10" s="31" t="n">
        <f aca="false">C10*Parámetros!$B$3</f>
        <v>4000000</v>
      </c>
    </row>
    <row r="11" customFormat="false" ht="15" hidden="false" customHeight="false" outlineLevel="0" collapsed="false">
      <c r="A11" s="29" t="n">
        <v>7</v>
      </c>
      <c r="B11" s="29" t="s">
        <v>28</v>
      </c>
      <c r="C11" s="30" t="n">
        <v>50</v>
      </c>
      <c r="D11" s="31" t="n">
        <f aca="false">C11*Parámetros!$B$3</f>
        <v>4000000</v>
      </c>
    </row>
    <row r="12" customFormat="false" ht="15" hidden="false" customHeight="false" outlineLevel="0" collapsed="false">
      <c r="A12" s="29" t="n">
        <v>8</v>
      </c>
      <c r="B12" s="29" t="s">
        <v>30</v>
      </c>
      <c r="C12" s="30" t="n">
        <v>50</v>
      </c>
      <c r="D12" s="31" t="n">
        <f aca="false">C12*Parámetros!$B$3</f>
        <v>4000000</v>
      </c>
    </row>
    <row r="13" customFormat="false" ht="15" hidden="false" customHeight="false" outlineLevel="0" collapsed="false">
      <c r="A13" s="29" t="n">
        <v>9</v>
      </c>
      <c r="B13" s="29" t="s">
        <v>32</v>
      </c>
      <c r="C13" s="30" t="n">
        <v>50</v>
      </c>
      <c r="D13" s="31" t="n">
        <f aca="false">C13*Parámetros!$B$3</f>
        <v>4000000</v>
      </c>
    </row>
    <row r="14" customFormat="false" ht="15" hidden="false" customHeight="false" outlineLevel="0" collapsed="false">
      <c r="A14" s="29" t="n">
        <v>10</v>
      </c>
      <c r="B14" s="29" t="s">
        <v>62</v>
      </c>
      <c r="C14" s="30" t="n">
        <v>50</v>
      </c>
      <c r="D14" s="31" t="n">
        <f aca="false">C14*Parámetros!$B$3</f>
        <v>4000000</v>
      </c>
    </row>
    <row r="15" customFormat="false" ht="15" hidden="false" customHeight="false" outlineLevel="0" collapsed="false">
      <c r="A15" s="29" t="n">
        <v>11</v>
      </c>
      <c r="B15" s="29" t="s">
        <v>72</v>
      </c>
      <c r="C15" s="30" t="n">
        <v>38</v>
      </c>
      <c r="D15" s="31" t="n">
        <f aca="false">C15*Parámetros!$B$3</f>
        <v>3040000</v>
      </c>
    </row>
    <row r="16" customFormat="false" ht="15" hidden="false" customHeight="false" outlineLevel="0" collapsed="false">
      <c r="A16" s="29" t="n">
        <v>12</v>
      </c>
      <c r="B16" s="29" t="s">
        <v>49</v>
      </c>
      <c r="C16" s="30" t="n">
        <v>37</v>
      </c>
      <c r="D16" s="31" t="n">
        <f aca="false">C16*Parámetros!$B$3</f>
        <v>2960000</v>
      </c>
    </row>
    <row r="17" customFormat="false" ht="15" hidden="false" customHeight="false" outlineLevel="0" collapsed="false">
      <c r="A17" s="29" t="n">
        <v>13</v>
      </c>
      <c r="B17" s="29" t="s">
        <v>54</v>
      </c>
      <c r="C17" s="30" t="n">
        <v>35</v>
      </c>
      <c r="D17" s="31" t="n">
        <f aca="false">C17*Parámetros!$B$3</f>
        <v>2800000</v>
      </c>
    </row>
    <row r="18" customFormat="false" ht="15" hidden="false" customHeight="false" outlineLevel="0" collapsed="false">
      <c r="A18" s="29" t="n">
        <v>14</v>
      </c>
      <c r="B18" s="29" t="s">
        <v>66</v>
      </c>
      <c r="C18" s="30" t="n">
        <v>35</v>
      </c>
      <c r="D18" s="31" t="n">
        <f aca="false">C18*Parámetros!$B$3</f>
        <v>2800000</v>
      </c>
    </row>
    <row r="19" customFormat="false" ht="15" hidden="false" customHeight="false" outlineLevel="0" collapsed="false">
      <c r="A19" s="29" t="n">
        <v>15</v>
      </c>
      <c r="B19" s="29" t="s">
        <v>69</v>
      </c>
      <c r="C19" s="30" t="n">
        <v>35</v>
      </c>
      <c r="D19" s="31" t="n">
        <f aca="false">C19*Parámetros!$B$3</f>
        <v>2800000</v>
      </c>
    </row>
    <row r="20" customFormat="false" ht="15" hidden="false" customHeight="false" outlineLevel="0" collapsed="false">
      <c r="A20" s="29" t="n">
        <v>16</v>
      </c>
      <c r="B20" s="29" t="s">
        <v>45</v>
      </c>
      <c r="C20" s="30" t="n">
        <v>30</v>
      </c>
      <c r="D20" s="31" t="n">
        <f aca="false">C20*Parámetros!$B$3</f>
        <v>2400000</v>
      </c>
    </row>
    <row r="21" customFormat="false" ht="15" hidden="false" customHeight="false" outlineLevel="0" collapsed="false">
      <c r="A21" s="29" t="n">
        <v>17</v>
      </c>
      <c r="B21" s="29" t="s">
        <v>43</v>
      </c>
      <c r="C21" s="30" t="n">
        <v>25</v>
      </c>
      <c r="D21" s="31" t="n">
        <f aca="false">C21*Parámetros!$B$3</f>
        <v>2000000</v>
      </c>
    </row>
    <row r="22" customFormat="false" ht="15" hidden="false" customHeight="false" outlineLevel="0" collapsed="false">
      <c r="A22" s="29" t="n">
        <v>18</v>
      </c>
      <c r="B22" s="29" t="s">
        <v>39</v>
      </c>
      <c r="C22" s="30" t="n">
        <v>17</v>
      </c>
      <c r="D22" s="31" t="n">
        <f aca="false">C22*Parámetros!$B$3</f>
        <v>1360000</v>
      </c>
    </row>
    <row r="23" customFormat="false" ht="15" hidden="false" customHeight="false" outlineLevel="0" collapsed="false">
      <c r="A23" s="29" t="n">
        <v>19</v>
      </c>
      <c r="B23" s="29" t="s">
        <v>41</v>
      </c>
      <c r="C23" s="30" t="n">
        <v>17</v>
      </c>
      <c r="D23" s="31" t="n">
        <f aca="false">C23*Parámetros!$B$3</f>
        <v>1360000</v>
      </c>
    </row>
    <row r="24" customFormat="false" ht="15" hidden="false" customHeight="false" outlineLevel="0" collapsed="false">
      <c r="A24" s="29" t="n">
        <v>20</v>
      </c>
      <c r="B24" s="29" t="s">
        <v>47</v>
      </c>
      <c r="C24" s="30" t="n">
        <v>17</v>
      </c>
      <c r="D24" s="31" t="n">
        <f aca="false">C24*Parámetros!$B$3</f>
        <v>1360000</v>
      </c>
    </row>
    <row r="25" customFormat="false" ht="15" hidden="false" customHeight="false" outlineLevel="0" collapsed="false">
      <c r="A25" s="29" t="n">
        <v>21</v>
      </c>
      <c r="B25" s="29" t="s">
        <v>52</v>
      </c>
      <c r="C25" s="30" t="n">
        <v>17</v>
      </c>
      <c r="D25" s="31" t="n">
        <f aca="false">C25*Parámetros!$B$3</f>
        <v>1360000</v>
      </c>
    </row>
    <row r="26" customFormat="false" ht="15" hidden="false" customHeight="false" outlineLevel="0" collapsed="false">
      <c r="A26" s="29" t="n">
        <v>22</v>
      </c>
      <c r="B26" s="29" t="s">
        <v>57</v>
      </c>
      <c r="C26" s="30" t="n">
        <v>17</v>
      </c>
      <c r="D26" s="31" t="n">
        <f aca="false">C26*Parámetros!$B$3</f>
        <v>1360000</v>
      </c>
    </row>
    <row r="27" customFormat="false" ht="15" hidden="false" customHeight="false" outlineLevel="0" collapsed="false">
      <c r="A27" s="29" t="n">
        <v>23</v>
      </c>
      <c r="B27" s="29" t="s">
        <v>59</v>
      </c>
      <c r="C27" s="30" t="n">
        <v>17</v>
      </c>
      <c r="D27" s="31" t="n">
        <f aca="false">C27*Parámetros!$B$3</f>
        <v>1360000</v>
      </c>
    </row>
    <row r="28" customFormat="false" ht="15" hidden="false" customHeight="false" outlineLevel="0" collapsed="false">
      <c r="A28" s="29" t="n">
        <v>24</v>
      </c>
      <c r="B28" s="29" t="s">
        <v>37</v>
      </c>
      <c r="C28" s="30" t="n">
        <v>15</v>
      </c>
      <c r="D28" s="31" t="n">
        <f aca="false">C28*Parámetros!$B$3</f>
        <v>1200000</v>
      </c>
    </row>
    <row r="29" customFormat="false" ht="15" hidden="false" customHeight="false" outlineLevel="0" collapsed="false">
      <c r="A29" s="29" t="n">
        <v>25</v>
      </c>
      <c r="B29" s="29" t="s">
        <v>77</v>
      </c>
      <c r="C29" s="30" t="n">
        <v>10</v>
      </c>
      <c r="D29" s="31" t="n">
        <f aca="false">C29*Parámetros!$B$3</f>
        <v>800000</v>
      </c>
    </row>
    <row r="31" customFormat="false" ht="15" hidden="false" customHeight="false" outlineLevel="0" collapsed="false">
      <c r="A31" s="32" t="s">
        <v>101</v>
      </c>
    </row>
    <row r="32" customFormat="false" ht="15" hidden="false" customHeight="false" outlineLevel="0" collapsed="false">
      <c r="A32" s="3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2026-06-19T03:09:05Z</dcterms:created>
  <dc:creator>openpyxl</dc:creator>
  <dc:description/>
  <dc:language>en-US</dc:language>
  <cp:lastModifiedBy/>
  <dcterms:modified xsi:type="dcterms:W3CDTF">2026-06-19T03:09:05Z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